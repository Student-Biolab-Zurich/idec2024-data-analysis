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sasha/Documents/eth/biolab/idec2024/analysis/20240926_S2060_investigation/"/>
    </mc:Choice>
  </mc:AlternateContent>
  <xr:revisionPtr revIDLastSave="0" documentId="13_ncr:1_{F501E119-C235-474F-9395-B140A203113C}" xr6:coauthVersionLast="47" xr6:coauthVersionMax="47" xr10:uidLastSave="{00000000-0000-0000-0000-000000000000}"/>
  <bookViews>
    <workbookView xWindow="4440" yWindow="760" windowWidth="25800" windowHeight="17700" xr2:uid="{00000000-000D-0000-FFFF-FFFF00000000}"/>
  </bookViews>
  <sheets>
    <sheet name="20240926_iDEC_S2060_reru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AenuGB83DDv3SvE57mTzMykEkZPe/CeHA7GnAYO0hI="/>
    </ext>
  </extLst>
</workbook>
</file>

<file path=xl/calcChain.xml><?xml version="1.0" encoding="utf-8"?>
<calcChain xmlns="http://schemas.openxmlformats.org/spreadsheetml/2006/main">
  <c r="C72" i="1" l="1"/>
  <c r="C70" i="1"/>
  <c r="C68" i="1"/>
  <c r="D66" i="1"/>
  <c r="C66" i="1"/>
  <c r="C64" i="1"/>
  <c r="C62" i="1"/>
  <c r="C60" i="1"/>
  <c r="D58" i="1"/>
  <c r="C58" i="1"/>
  <c r="C56" i="1"/>
  <c r="C54" i="1"/>
  <c r="C52" i="1"/>
  <c r="D50" i="1"/>
  <c r="C50" i="1"/>
  <c r="C48" i="1"/>
  <c r="C46" i="1"/>
  <c r="C44" i="1"/>
  <c r="D42" i="1"/>
  <c r="C42" i="1"/>
  <c r="C40" i="1"/>
  <c r="C38" i="1"/>
  <c r="C36" i="1"/>
  <c r="D34" i="1"/>
  <c r="C34" i="1"/>
  <c r="C32" i="1"/>
  <c r="C30" i="1"/>
  <c r="C28" i="1"/>
  <c r="D26" i="1"/>
  <c r="C26" i="1"/>
  <c r="C24" i="1"/>
  <c r="C22" i="1"/>
  <c r="C20" i="1"/>
  <c r="D18" i="1"/>
  <c r="C18" i="1"/>
  <c r="C16" i="1"/>
  <c r="C14" i="1"/>
  <c r="C12" i="1"/>
  <c r="D10" i="1"/>
  <c r="C10" i="1"/>
  <c r="C8" i="1"/>
  <c r="C6" i="1"/>
  <c r="C4" i="1"/>
  <c r="D2" i="1"/>
  <c r="C2" i="1"/>
</calcChain>
</file>

<file path=xl/sharedStrings.xml><?xml version="1.0" encoding="utf-8"?>
<sst xmlns="http://schemas.openxmlformats.org/spreadsheetml/2006/main" count="85" uniqueCount="85">
  <si>
    <t>Pos</t>
  </si>
  <si>
    <t>Cp</t>
  </si>
  <si>
    <t>A1</t>
  </si>
  <si>
    <t>LB + phages</t>
  </si>
  <si>
    <t>S2060 cryo</t>
  </si>
  <si>
    <t>S2060 old</t>
  </si>
  <si>
    <t>S2060 recent</t>
  </si>
  <si>
    <t>1117-44-00</t>
  </si>
  <si>
    <t>1076-08-00</t>
  </si>
  <si>
    <t>S2208</t>
  </si>
  <si>
    <t>A2</t>
  </si>
  <si>
    <t>A4</t>
  </si>
  <si>
    <t>A5</t>
  </si>
  <si>
    <t>A7</t>
  </si>
  <si>
    <t>A8</t>
  </si>
  <si>
    <t>A10</t>
  </si>
  <si>
    <t>A11</t>
  </si>
  <si>
    <t>B1</t>
  </si>
  <si>
    <t>B2</t>
  </si>
  <si>
    <t>B4</t>
  </si>
  <si>
    <t>B5</t>
  </si>
  <si>
    <t>B7</t>
  </si>
  <si>
    <t>B8</t>
  </si>
  <si>
    <t>B10</t>
  </si>
  <si>
    <t>B11</t>
  </si>
  <si>
    <t>C1</t>
  </si>
  <si>
    <t>C2</t>
  </si>
  <si>
    <t>C4</t>
  </si>
  <si>
    <t>C5</t>
  </si>
  <si>
    <t>C7</t>
  </si>
  <si>
    <t>C8</t>
  </si>
  <si>
    <t>C10</t>
  </si>
  <si>
    <t>C11</t>
  </si>
  <si>
    <t>D1</t>
  </si>
  <si>
    <t>D2</t>
  </si>
  <si>
    <t>D4</t>
  </si>
  <si>
    <t>D5</t>
  </si>
  <si>
    <t>D7</t>
  </si>
  <si>
    <t>D8</t>
  </si>
  <si>
    <t>D10</t>
  </si>
  <si>
    <t>D11</t>
  </si>
  <si>
    <t>E1</t>
  </si>
  <si>
    <t>S2060 Lukas</t>
  </si>
  <si>
    <t>E2</t>
  </si>
  <si>
    <t>E4</t>
  </si>
  <si>
    <t>E5</t>
  </si>
  <si>
    <t>E7</t>
  </si>
  <si>
    <t>E8</t>
  </si>
  <si>
    <t>E10</t>
  </si>
  <si>
    <t>E11</t>
  </si>
  <si>
    <t>F1</t>
  </si>
  <si>
    <t>F2</t>
  </si>
  <si>
    <t>F4</t>
  </si>
  <si>
    <t>F5</t>
  </si>
  <si>
    <t>F7</t>
  </si>
  <si>
    <t>F8</t>
  </si>
  <si>
    <t>F10</t>
  </si>
  <si>
    <t>F11</t>
  </si>
  <si>
    <t>G1</t>
  </si>
  <si>
    <t>G2</t>
  </si>
  <si>
    <t>G4</t>
  </si>
  <si>
    <t>G5</t>
  </si>
  <si>
    <t>G7</t>
  </si>
  <si>
    <t>G8</t>
  </si>
  <si>
    <t>G10</t>
  </si>
  <si>
    <t>G11</t>
  </si>
  <si>
    <t>H1</t>
  </si>
  <si>
    <t>H2</t>
  </si>
  <si>
    <t>H4</t>
  </si>
  <si>
    <t>H5</t>
  </si>
  <si>
    <t>H7</t>
  </si>
  <si>
    <t>H8</t>
  </si>
  <si>
    <t>H10</t>
  </si>
  <si>
    <t>H11</t>
  </si>
  <si>
    <t>I1</t>
  </si>
  <si>
    <t>Negative control</t>
  </si>
  <si>
    <t>I2</t>
  </si>
  <si>
    <t>I4</t>
  </si>
  <si>
    <t>I5</t>
  </si>
  <si>
    <t>I7</t>
  </si>
  <si>
    <t>I8</t>
  </si>
  <si>
    <t>I10</t>
  </si>
  <si>
    <t>I11</t>
  </si>
  <si>
    <t>Sample</t>
  </si>
  <si>
    <t>Cp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</si>
</sst>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workbookViewId="0">
      <selection activeCell="D1" sqref="D1"/>
    </sheetView>
  </sheetViews>
  <sheetFormatPr baseColWidth="10" defaultColWidth="11.1640625" defaultRowHeight="15" customHeight="1" x14ac:dyDescent="0.2"/>
  <cols>
    <col min="1" max="4" width="8.33203125" customWidth="1"/>
    <col min="5" max="5" width="13.83203125" customWidth="1"/>
    <col min="6" max="6" width="8.33203125" customWidth="1"/>
    <col min="7" max="7" width="18.1640625" customWidth="1"/>
    <col min="8" max="26" width="8.33203125" customWidth="1"/>
  </cols>
  <sheetData>
    <row r="1" spans="1:16" ht="15.75" customHeight="1" x14ac:dyDescent="0.2">
      <c r="A1" s="1" t="s">
        <v>0</v>
      </c>
      <c r="B1" s="1" t="s">
        <v>1</v>
      </c>
      <c r="D1" t="s">
        <v>84</v>
      </c>
      <c r="E1" t="s">
        <v>83</v>
      </c>
    </row>
    <row r="2" spans="1:16" ht="15.75" customHeight="1" x14ac:dyDescent="0.2">
      <c r="A2" s="1" t="s">
        <v>2</v>
      </c>
      <c r="B2" s="1">
        <v>23.48</v>
      </c>
      <c r="C2" s="17">
        <f>AVERAGE(B2:B3)</f>
        <v>23.335000000000001</v>
      </c>
      <c r="D2" s="15">
        <f>AVERAGE(B2:B9)</f>
        <v>23.415000000000003</v>
      </c>
      <c r="E2" s="15" t="s">
        <v>3</v>
      </c>
      <c r="G2" s="2"/>
      <c r="H2" s="3"/>
      <c r="I2" s="4"/>
      <c r="J2" s="3"/>
      <c r="K2" s="3"/>
      <c r="L2" s="3"/>
      <c r="M2" s="3"/>
      <c r="N2" s="3"/>
      <c r="O2" s="3"/>
      <c r="P2" s="5"/>
    </row>
    <row r="3" spans="1:16" ht="15.75" customHeight="1" x14ac:dyDescent="0.2">
      <c r="A3" s="1" t="s">
        <v>10</v>
      </c>
      <c r="B3" s="1">
        <v>23.19</v>
      </c>
      <c r="C3" s="16"/>
      <c r="D3" s="16"/>
      <c r="E3" s="16"/>
      <c r="G3" s="6"/>
      <c r="H3" s="7"/>
      <c r="I3" s="7"/>
      <c r="J3" s="7"/>
      <c r="K3" s="7"/>
      <c r="L3" s="7"/>
      <c r="M3" s="7"/>
      <c r="N3" s="7"/>
      <c r="O3" s="7"/>
      <c r="P3" s="8"/>
    </row>
    <row r="4" spans="1:16" ht="15.75" customHeight="1" x14ac:dyDescent="0.2">
      <c r="A4" s="1" t="s">
        <v>11</v>
      </c>
      <c r="B4" s="1">
        <v>23.22</v>
      </c>
      <c r="C4" s="17">
        <f>AVERAGE(B4:B5)</f>
        <v>23.195</v>
      </c>
      <c r="D4" s="16"/>
      <c r="E4" s="16"/>
      <c r="G4" s="9"/>
      <c r="H4" s="10"/>
      <c r="I4" s="10"/>
      <c r="J4" s="10"/>
      <c r="K4" s="10"/>
      <c r="L4" s="10"/>
      <c r="M4" s="10"/>
      <c r="N4" s="10"/>
      <c r="O4" s="10"/>
      <c r="P4" s="11"/>
    </row>
    <row r="5" spans="1:16" ht="15.75" customHeight="1" x14ac:dyDescent="0.2">
      <c r="A5" s="1" t="s">
        <v>12</v>
      </c>
      <c r="B5" s="1">
        <v>23.17</v>
      </c>
      <c r="C5" s="16"/>
      <c r="D5" s="16"/>
      <c r="E5" s="16"/>
      <c r="G5" s="6"/>
      <c r="H5" s="7"/>
      <c r="I5" s="7"/>
      <c r="J5" s="7"/>
      <c r="K5" s="7"/>
      <c r="L5" s="7"/>
      <c r="M5" s="7"/>
      <c r="N5" s="7"/>
      <c r="O5" s="7"/>
      <c r="P5" s="8"/>
    </row>
    <row r="6" spans="1:16" ht="15.75" customHeight="1" x14ac:dyDescent="0.2">
      <c r="A6" s="1" t="s">
        <v>13</v>
      </c>
      <c r="B6" s="1">
        <v>23.65</v>
      </c>
      <c r="C6" s="17">
        <f>AVERAGE(B6:B7)</f>
        <v>23.65</v>
      </c>
      <c r="D6" s="16"/>
      <c r="E6" s="16"/>
      <c r="G6" s="12"/>
      <c r="H6" s="13"/>
      <c r="I6" s="13"/>
      <c r="J6" s="13"/>
      <c r="K6" s="13"/>
      <c r="L6" s="13"/>
      <c r="M6" s="13"/>
      <c r="N6" s="13"/>
      <c r="O6" s="13"/>
      <c r="P6" s="14"/>
    </row>
    <row r="7" spans="1:16" ht="15.75" customHeight="1" x14ac:dyDescent="0.2">
      <c r="A7" s="1" t="s">
        <v>14</v>
      </c>
      <c r="B7" s="1">
        <v>23.65</v>
      </c>
      <c r="C7" s="16"/>
      <c r="D7" s="16"/>
      <c r="E7" s="16"/>
    </row>
    <row r="8" spans="1:16" ht="15.75" customHeight="1" x14ac:dyDescent="0.2">
      <c r="A8" s="1" t="s">
        <v>15</v>
      </c>
      <c r="B8" s="1">
        <v>23.49</v>
      </c>
      <c r="C8" s="17">
        <f>AVERAGE(B8:B9)</f>
        <v>23.479999999999997</v>
      </c>
      <c r="D8" s="16"/>
      <c r="E8" s="16"/>
    </row>
    <row r="9" spans="1:16" ht="15.75" customHeight="1" x14ac:dyDescent="0.2">
      <c r="A9" s="1" t="s">
        <v>16</v>
      </c>
      <c r="B9" s="1">
        <v>23.47</v>
      </c>
      <c r="C9" s="16"/>
      <c r="D9" s="16"/>
      <c r="E9" s="16"/>
    </row>
    <row r="10" spans="1:16" ht="15.75" customHeight="1" x14ac:dyDescent="0.2">
      <c r="A10" s="1" t="s">
        <v>17</v>
      </c>
      <c r="B10" s="1">
        <v>14.85</v>
      </c>
      <c r="C10" s="17">
        <f>AVERAGE(B10:B11)</f>
        <v>14.82</v>
      </c>
      <c r="D10" s="15">
        <f>AVERAGE(B10:B17)</f>
        <v>15.016249999999999</v>
      </c>
      <c r="E10" s="15" t="s">
        <v>5</v>
      </c>
    </row>
    <row r="11" spans="1:16" ht="15.75" customHeight="1" x14ac:dyDescent="0.2">
      <c r="A11" s="1" t="s">
        <v>18</v>
      </c>
      <c r="B11" s="1">
        <v>14.79</v>
      </c>
      <c r="C11" s="16"/>
      <c r="D11" s="16"/>
      <c r="E11" s="16"/>
    </row>
    <row r="12" spans="1:16" ht="15.75" customHeight="1" x14ac:dyDescent="0.2">
      <c r="A12" s="1" t="s">
        <v>19</v>
      </c>
      <c r="B12" s="1">
        <v>14.81</v>
      </c>
      <c r="C12" s="17">
        <f>AVERAGE(B12:B13)</f>
        <v>14.77</v>
      </c>
      <c r="D12" s="16"/>
      <c r="E12" s="16"/>
    </row>
    <row r="13" spans="1:16" ht="15.75" customHeight="1" x14ac:dyDescent="0.2">
      <c r="A13" s="1" t="s">
        <v>20</v>
      </c>
      <c r="B13" s="1">
        <v>14.73</v>
      </c>
      <c r="C13" s="16"/>
      <c r="D13" s="16"/>
      <c r="E13" s="16"/>
    </row>
    <row r="14" spans="1:16" ht="15.75" customHeight="1" x14ac:dyDescent="0.2">
      <c r="A14" s="1" t="s">
        <v>21</v>
      </c>
      <c r="B14" s="1">
        <v>15.11</v>
      </c>
      <c r="C14" s="17">
        <f>AVERAGE(B14:B15)</f>
        <v>15.175000000000001</v>
      </c>
      <c r="D14" s="16"/>
      <c r="E14" s="16"/>
    </row>
    <row r="15" spans="1:16" ht="15.75" customHeight="1" x14ac:dyDescent="0.2">
      <c r="A15" s="1" t="s">
        <v>22</v>
      </c>
      <c r="B15" s="1">
        <v>15.24</v>
      </c>
      <c r="C15" s="16"/>
      <c r="D15" s="16"/>
      <c r="E15" s="16"/>
    </row>
    <row r="16" spans="1:16" ht="15.75" customHeight="1" x14ac:dyDescent="0.2">
      <c r="A16" s="1" t="s">
        <v>23</v>
      </c>
      <c r="B16" s="1">
        <v>15.27</v>
      </c>
      <c r="C16" s="17">
        <f>AVERAGE(B16:B17)</f>
        <v>15.3</v>
      </c>
      <c r="D16" s="16"/>
      <c r="E16" s="16"/>
    </row>
    <row r="17" spans="1:5" ht="15.75" customHeight="1" x14ac:dyDescent="0.2">
      <c r="A17" s="1" t="s">
        <v>24</v>
      </c>
      <c r="B17" s="1">
        <v>15.33</v>
      </c>
      <c r="C17" s="16"/>
      <c r="D17" s="16"/>
      <c r="E17" s="16"/>
    </row>
    <row r="18" spans="1:5" ht="15.75" customHeight="1" x14ac:dyDescent="0.2">
      <c r="A18" s="1" t="s">
        <v>25</v>
      </c>
      <c r="B18" s="1">
        <v>14.84</v>
      </c>
      <c r="C18" s="17">
        <f>AVERAGE(B18:B19)</f>
        <v>14.92</v>
      </c>
      <c r="D18" s="15">
        <f>AVERAGE(B18:B25)</f>
        <v>14.835000000000001</v>
      </c>
      <c r="E18" s="15" t="s">
        <v>4</v>
      </c>
    </row>
    <row r="19" spans="1:5" ht="15.75" customHeight="1" x14ac:dyDescent="0.2">
      <c r="A19" s="1" t="s">
        <v>26</v>
      </c>
      <c r="B19" s="1">
        <v>15</v>
      </c>
      <c r="C19" s="16"/>
      <c r="D19" s="16"/>
      <c r="E19" s="16"/>
    </row>
    <row r="20" spans="1:5" ht="15.75" customHeight="1" x14ac:dyDescent="0.2">
      <c r="A20" s="1" t="s">
        <v>27</v>
      </c>
      <c r="B20" s="1">
        <v>14.8</v>
      </c>
      <c r="C20" s="17">
        <f>AVERAGE(B20:B21)</f>
        <v>14.7</v>
      </c>
      <c r="D20" s="16"/>
      <c r="E20" s="16"/>
    </row>
    <row r="21" spans="1:5" ht="15.75" customHeight="1" x14ac:dyDescent="0.2">
      <c r="A21" s="1" t="s">
        <v>28</v>
      </c>
      <c r="B21" s="1">
        <v>14.6</v>
      </c>
      <c r="C21" s="16"/>
      <c r="D21" s="16"/>
      <c r="E21" s="16"/>
    </row>
    <row r="22" spans="1:5" ht="15.75" customHeight="1" x14ac:dyDescent="0.2">
      <c r="A22" s="1" t="s">
        <v>29</v>
      </c>
      <c r="B22" s="1">
        <v>14.9</v>
      </c>
      <c r="C22" s="17">
        <f>AVERAGE(B22:B23)</f>
        <v>14.8</v>
      </c>
      <c r="D22" s="16"/>
      <c r="E22" s="16"/>
    </row>
    <row r="23" spans="1:5" ht="15.75" customHeight="1" x14ac:dyDescent="0.2">
      <c r="A23" s="1" t="s">
        <v>30</v>
      </c>
      <c r="B23" s="1">
        <v>14.7</v>
      </c>
      <c r="C23" s="16"/>
      <c r="D23" s="16"/>
      <c r="E23" s="16"/>
    </row>
    <row r="24" spans="1:5" ht="15.75" customHeight="1" x14ac:dyDescent="0.2">
      <c r="A24" s="1" t="s">
        <v>31</v>
      </c>
      <c r="B24" s="1">
        <v>14.72</v>
      </c>
      <c r="C24" s="17">
        <f>AVERAGE(B24:B25)</f>
        <v>14.92</v>
      </c>
      <c r="D24" s="16"/>
      <c r="E24" s="16"/>
    </row>
    <row r="25" spans="1:5" ht="15.75" customHeight="1" x14ac:dyDescent="0.2">
      <c r="A25" s="1" t="s">
        <v>32</v>
      </c>
      <c r="B25" s="1">
        <v>15.12</v>
      </c>
      <c r="C25" s="16"/>
      <c r="D25" s="16"/>
      <c r="E25" s="16"/>
    </row>
    <row r="26" spans="1:5" ht="15.75" customHeight="1" x14ac:dyDescent="0.2">
      <c r="A26" s="1" t="s">
        <v>33</v>
      </c>
      <c r="B26" s="1">
        <v>13.3</v>
      </c>
      <c r="C26" s="17">
        <f>AVERAGE(B26:B27)</f>
        <v>13.190000000000001</v>
      </c>
      <c r="D26" s="15">
        <f>AVERAGE(B26:B33)</f>
        <v>13.433750000000002</v>
      </c>
      <c r="E26" s="15" t="s">
        <v>6</v>
      </c>
    </row>
    <row r="27" spans="1:5" ht="15.75" customHeight="1" x14ac:dyDescent="0.2">
      <c r="A27" s="1" t="s">
        <v>34</v>
      </c>
      <c r="B27" s="1">
        <v>13.08</v>
      </c>
      <c r="C27" s="16"/>
      <c r="D27" s="16"/>
      <c r="E27" s="16"/>
    </row>
    <row r="28" spans="1:5" ht="15.75" customHeight="1" x14ac:dyDescent="0.2">
      <c r="A28" s="1" t="s">
        <v>35</v>
      </c>
      <c r="B28" s="1">
        <v>13.2</v>
      </c>
      <c r="C28" s="17">
        <f>AVERAGE(B28:B29)</f>
        <v>13.09</v>
      </c>
      <c r="D28" s="16"/>
      <c r="E28" s="16"/>
    </row>
    <row r="29" spans="1:5" ht="15.75" customHeight="1" x14ac:dyDescent="0.2">
      <c r="A29" s="1" t="s">
        <v>36</v>
      </c>
      <c r="B29" s="1">
        <v>12.98</v>
      </c>
      <c r="C29" s="16"/>
      <c r="D29" s="16"/>
      <c r="E29" s="16"/>
    </row>
    <row r="30" spans="1:5" ht="15.75" customHeight="1" x14ac:dyDescent="0.2">
      <c r="A30" s="1" t="s">
        <v>37</v>
      </c>
      <c r="B30" s="1">
        <v>13.68</v>
      </c>
      <c r="C30" s="17">
        <f>AVERAGE(B30:B31)</f>
        <v>13.715</v>
      </c>
      <c r="D30" s="16"/>
      <c r="E30" s="16"/>
    </row>
    <row r="31" spans="1:5" ht="15.75" customHeight="1" x14ac:dyDescent="0.2">
      <c r="A31" s="1" t="s">
        <v>38</v>
      </c>
      <c r="B31" s="1">
        <v>13.75</v>
      </c>
      <c r="C31" s="16"/>
      <c r="D31" s="16"/>
      <c r="E31" s="16"/>
    </row>
    <row r="32" spans="1:5" ht="15.75" customHeight="1" x14ac:dyDescent="0.2">
      <c r="A32" s="1" t="s">
        <v>39</v>
      </c>
      <c r="B32" s="1">
        <v>13.72</v>
      </c>
      <c r="C32" s="17">
        <f>AVERAGE(B32:B33)</f>
        <v>13.74</v>
      </c>
      <c r="D32" s="16"/>
      <c r="E32" s="16"/>
    </row>
    <row r="33" spans="1:5" ht="15.75" customHeight="1" x14ac:dyDescent="0.2">
      <c r="A33" s="1" t="s">
        <v>40</v>
      </c>
      <c r="B33" s="1">
        <v>13.76</v>
      </c>
      <c r="C33" s="16"/>
      <c r="D33" s="16"/>
      <c r="E33" s="16"/>
    </row>
    <row r="34" spans="1:5" ht="15.75" customHeight="1" x14ac:dyDescent="0.2">
      <c r="A34" s="1" t="s">
        <v>41</v>
      </c>
      <c r="B34" s="1">
        <v>14.19</v>
      </c>
      <c r="C34" s="17">
        <f>AVERAGE(B34:B35)</f>
        <v>14.175000000000001</v>
      </c>
      <c r="D34" s="15">
        <f>AVERAGE(B34:B41)</f>
        <v>14.401249999999997</v>
      </c>
      <c r="E34" s="15" t="s">
        <v>42</v>
      </c>
    </row>
    <row r="35" spans="1:5" ht="15.75" customHeight="1" x14ac:dyDescent="0.2">
      <c r="A35" s="1" t="s">
        <v>43</v>
      </c>
      <c r="B35" s="1">
        <v>14.16</v>
      </c>
      <c r="C35" s="16"/>
      <c r="D35" s="16"/>
      <c r="E35" s="16"/>
    </row>
    <row r="36" spans="1:5" ht="15.75" customHeight="1" x14ac:dyDescent="0.2">
      <c r="A36" s="1" t="s">
        <v>44</v>
      </c>
      <c r="B36" s="1">
        <v>14.15</v>
      </c>
      <c r="C36" s="17">
        <f>AVERAGE(B36:B37)</f>
        <v>14.094999999999999</v>
      </c>
      <c r="D36" s="16"/>
      <c r="E36" s="16"/>
    </row>
    <row r="37" spans="1:5" ht="15.75" customHeight="1" x14ac:dyDescent="0.2">
      <c r="A37" s="1" t="s">
        <v>45</v>
      </c>
      <c r="B37" s="1">
        <v>14.04</v>
      </c>
      <c r="C37" s="16"/>
      <c r="D37" s="16"/>
      <c r="E37" s="16"/>
    </row>
    <row r="38" spans="1:5" ht="15.75" customHeight="1" x14ac:dyDescent="0.2">
      <c r="A38" s="1" t="s">
        <v>46</v>
      </c>
      <c r="B38" s="1">
        <v>14.56</v>
      </c>
      <c r="C38" s="17">
        <f>AVERAGE(B38:B39)</f>
        <v>14.65</v>
      </c>
      <c r="D38" s="16"/>
      <c r="E38" s="16"/>
    </row>
    <row r="39" spans="1:5" ht="15.75" customHeight="1" x14ac:dyDescent="0.2">
      <c r="A39" s="1" t="s">
        <v>47</v>
      </c>
      <c r="B39" s="1">
        <v>14.74</v>
      </c>
      <c r="C39" s="16"/>
      <c r="D39" s="16"/>
      <c r="E39" s="16"/>
    </row>
    <row r="40" spans="1:5" ht="15.75" customHeight="1" x14ac:dyDescent="0.2">
      <c r="A40" s="1" t="s">
        <v>48</v>
      </c>
      <c r="B40" s="1">
        <v>14.71</v>
      </c>
      <c r="C40" s="17">
        <f>AVERAGE(B40:B41)</f>
        <v>14.685</v>
      </c>
      <c r="D40" s="16"/>
      <c r="E40" s="16"/>
    </row>
    <row r="41" spans="1:5" ht="15.75" customHeight="1" x14ac:dyDescent="0.2">
      <c r="A41" s="1" t="s">
        <v>49</v>
      </c>
      <c r="B41" s="1">
        <v>14.66</v>
      </c>
      <c r="C41" s="16"/>
      <c r="D41" s="16"/>
      <c r="E41" s="16"/>
    </row>
    <row r="42" spans="1:5" ht="15.75" customHeight="1" x14ac:dyDescent="0.2">
      <c r="A42" s="1" t="s">
        <v>50</v>
      </c>
      <c r="B42" s="1">
        <v>14.5</v>
      </c>
      <c r="C42" s="17">
        <f>AVERAGE(B42:B43)</f>
        <v>14.469999999999999</v>
      </c>
      <c r="D42" s="15">
        <f>AVERAGE(B42:B49)</f>
        <v>14.641250000000001</v>
      </c>
      <c r="E42" s="15" t="s">
        <v>7</v>
      </c>
    </row>
    <row r="43" spans="1:5" ht="15.75" customHeight="1" x14ac:dyDescent="0.2">
      <c r="A43" s="1" t="s">
        <v>51</v>
      </c>
      <c r="B43" s="1">
        <v>14.44</v>
      </c>
      <c r="C43" s="16"/>
      <c r="D43" s="16"/>
      <c r="E43" s="16"/>
    </row>
    <row r="44" spans="1:5" ht="15.75" customHeight="1" x14ac:dyDescent="0.2">
      <c r="A44" s="1" t="s">
        <v>52</v>
      </c>
      <c r="B44" s="1">
        <v>14.34</v>
      </c>
      <c r="C44" s="17">
        <f>AVERAGE(B44:B45)</f>
        <v>14.44</v>
      </c>
      <c r="D44" s="16"/>
      <c r="E44" s="16"/>
    </row>
    <row r="45" spans="1:5" ht="15.75" customHeight="1" x14ac:dyDescent="0.2">
      <c r="A45" s="1" t="s">
        <v>53</v>
      </c>
      <c r="B45" s="1">
        <v>14.54</v>
      </c>
      <c r="C45" s="16"/>
      <c r="D45" s="16"/>
      <c r="E45" s="16"/>
    </row>
    <row r="46" spans="1:5" ht="15.75" customHeight="1" x14ac:dyDescent="0.2">
      <c r="A46" s="1" t="s">
        <v>54</v>
      </c>
      <c r="B46" s="1">
        <v>14.71</v>
      </c>
      <c r="C46" s="17">
        <f>AVERAGE(B46:B47)</f>
        <v>14.79</v>
      </c>
      <c r="D46" s="16"/>
      <c r="E46" s="16"/>
    </row>
    <row r="47" spans="1:5" ht="15.75" customHeight="1" x14ac:dyDescent="0.2">
      <c r="A47" s="1" t="s">
        <v>55</v>
      </c>
      <c r="B47" s="1">
        <v>14.87</v>
      </c>
      <c r="C47" s="16"/>
      <c r="D47" s="16"/>
      <c r="E47" s="16"/>
    </row>
    <row r="48" spans="1:5" ht="15.75" customHeight="1" x14ac:dyDescent="0.2">
      <c r="A48" s="1" t="s">
        <v>56</v>
      </c>
      <c r="B48" s="1">
        <v>14.9</v>
      </c>
      <c r="C48" s="17">
        <f>AVERAGE(B48:B49)</f>
        <v>14.865</v>
      </c>
      <c r="D48" s="16"/>
      <c r="E48" s="16"/>
    </row>
    <row r="49" spans="1:5" ht="15.75" customHeight="1" x14ac:dyDescent="0.2">
      <c r="A49" s="1" t="s">
        <v>57</v>
      </c>
      <c r="B49" s="1">
        <v>14.83</v>
      </c>
      <c r="C49" s="16"/>
      <c r="D49" s="16"/>
      <c r="E49" s="16"/>
    </row>
    <row r="50" spans="1:5" ht="15.75" customHeight="1" x14ac:dyDescent="0.2">
      <c r="A50" s="1" t="s">
        <v>58</v>
      </c>
      <c r="C50" s="17">
        <f>AVERAGE(B50:B51)</f>
        <v>14.68</v>
      </c>
      <c r="D50" s="15">
        <f>AVERAGE(B50:B57)</f>
        <v>14.797142857142857</v>
      </c>
      <c r="E50" s="15" t="s">
        <v>8</v>
      </c>
    </row>
    <row r="51" spans="1:5" ht="15.75" customHeight="1" x14ac:dyDescent="0.2">
      <c r="A51" s="1" t="s">
        <v>59</v>
      </c>
      <c r="B51" s="1">
        <v>14.68</v>
      </c>
      <c r="C51" s="16"/>
      <c r="D51" s="16"/>
      <c r="E51" s="16"/>
    </row>
    <row r="52" spans="1:5" ht="15.75" customHeight="1" x14ac:dyDescent="0.2">
      <c r="A52" s="1" t="s">
        <v>60</v>
      </c>
      <c r="B52" s="1">
        <v>14.47</v>
      </c>
      <c r="C52" s="17">
        <f>AVERAGE(B52:B53)</f>
        <v>14.585000000000001</v>
      </c>
      <c r="D52" s="16"/>
      <c r="E52" s="16"/>
    </row>
    <row r="53" spans="1:5" ht="15.75" customHeight="1" x14ac:dyDescent="0.2">
      <c r="A53" s="1" t="s">
        <v>61</v>
      </c>
      <c r="B53" s="1">
        <v>14.7</v>
      </c>
      <c r="C53" s="16"/>
      <c r="D53" s="16"/>
      <c r="E53" s="16"/>
    </row>
    <row r="54" spans="1:5" ht="15.75" customHeight="1" x14ac:dyDescent="0.2">
      <c r="A54" s="1" t="s">
        <v>62</v>
      </c>
      <c r="B54" s="1">
        <v>15.05</v>
      </c>
      <c r="C54" s="17">
        <f>AVERAGE(B54:B55)</f>
        <v>15</v>
      </c>
      <c r="D54" s="16"/>
      <c r="E54" s="16"/>
    </row>
    <row r="55" spans="1:5" ht="15.75" customHeight="1" x14ac:dyDescent="0.2">
      <c r="A55" s="1" t="s">
        <v>63</v>
      </c>
      <c r="B55" s="1">
        <v>14.95</v>
      </c>
      <c r="C55" s="16"/>
      <c r="D55" s="16"/>
      <c r="E55" s="16"/>
    </row>
    <row r="56" spans="1:5" ht="15.75" customHeight="1" x14ac:dyDescent="0.2">
      <c r="A56" s="1" t="s">
        <v>64</v>
      </c>
      <c r="B56" s="1">
        <v>14.93</v>
      </c>
      <c r="C56" s="17">
        <f>AVERAGE(B56:B57)</f>
        <v>14.865</v>
      </c>
      <c r="D56" s="16"/>
      <c r="E56" s="16"/>
    </row>
    <row r="57" spans="1:5" ht="15.75" customHeight="1" x14ac:dyDescent="0.2">
      <c r="A57" s="1" t="s">
        <v>65</v>
      </c>
      <c r="B57" s="1">
        <v>14.8</v>
      </c>
      <c r="C57" s="16"/>
      <c r="D57" s="16"/>
      <c r="E57" s="16"/>
    </row>
    <row r="58" spans="1:5" ht="15.75" customHeight="1" x14ac:dyDescent="0.2">
      <c r="A58" s="1" t="s">
        <v>66</v>
      </c>
      <c r="B58" s="1">
        <v>9.25</v>
      </c>
      <c r="C58" s="17">
        <f>AVERAGE(B58:B59)</f>
        <v>9.3350000000000009</v>
      </c>
      <c r="D58" s="15">
        <f>AVERAGE(B58:B65)</f>
        <v>8.6524999999999999</v>
      </c>
      <c r="E58" s="15" t="s">
        <v>9</v>
      </c>
    </row>
    <row r="59" spans="1:5" ht="15.75" customHeight="1" x14ac:dyDescent="0.2">
      <c r="A59" s="1" t="s">
        <v>67</v>
      </c>
      <c r="B59" s="1">
        <v>9.42</v>
      </c>
      <c r="C59" s="16"/>
      <c r="D59" s="16"/>
      <c r="E59" s="16"/>
    </row>
    <row r="60" spans="1:5" ht="15.75" customHeight="1" x14ac:dyDescent="0.2">
      <c r="A60" s="1" t="s">
        <v>68</v>
      </c>
      <c r="B60" s="1">
        <v>9.65</v>
      </c>
      <c r="C60" s="17">
        <f>AVERAGE(B60:B61)</f>
        <v>10.245000000000001</v>
      </c>
      <c r="D60" s="16"/>
      <c r="E60" s="16"/>
    </row>
    <row r="61" spans="1:5" ht="15.75" customHeight="1" x14ac:dyDescent="0.2">
      <c r="A61" s="1" t="s">
        <v>69</v>
      </c>
      <c r="B61" s="1">
        <v>10.84</v>
      </c>
      <c r="C61" s="16"/>
      <c r="D61" s="16"/>
      <c r="E61" s="16"/>
    </row>
    <row r="62" spans="1:5" ht="15.75" customHeight="1" x14ac:dyDescent="0.2">
      <c r="A62" s="1" t="s">
        <v>70</v>
      </c>
      <c r="B62" s="1">
        <v>8.81</v>
      </c>
      <c r="C62" s="17">
        <f>AVERAGE(B62:B63)</f>
        <v>8.4250000000000007</v>
      </c>
      <c r="D62" s="16"/>
      <c r="E62" s="16"/>
    </row>
    <row r="63" spans="1:5" ht="15.75" customHeight="1" x14ac:dyDescent="0.2">
      <c r="A63" s="1" t="s">
        <v>71</v>
      </c>
      <c r="B63" s="1">
        <v>8.0399999999999991</v>
      </c>
      <c r="C63" s="16"/>
      <c r="D63" s="16"/>
      <c r="E63" s="16"/>
    </row>
    <row r="64" spans="1:5" ht="15.75" customHeight="1" x14ac:dyDescent="0.2">
      <c r="A64" s="1" t="s">
        <v>72</v>
      </c>
      <c r="B64" s="1">
        <v>6.74</v>
      </c>
      <c r="C64" s="17">
        <f>AVERAGE(B64:B65)</f>
        <v>6.6050000000000004</v>
      </c>
      <c r="D64" s="16"/>
      <c r="E64" s="16"/>
    </row>
    <row r="65" spans="1:5" ht="15.75" customHeight="1" x14ac:dyDescent="0.2">
      <c r="A65" s="1" t="s">
        <v>73</v>
      </c>
      <c r="B65" s="1">
        <v>6.47</v>
      </c>
      <c r="C65" s="16"/>
      <c r="D65" s="16"/>
      <c r="E65" s="16"/>
    </row>
    <row r="66" spans="1:5" ht="15.75" customHeight="1" x14ac:dyDescent="0.2">
      <c r="A66" s="1" t="s">
        <v>74</v>
      </c>
      <c r="B66" s="1">
        <v>30.44</v>
      </c>
      <c r="C66" s="17">
        <f>AVERAGE(B66:B67)</f>
        <v>30.535</v>
      </c>
      <c r="D66" s="15">
        <f>AVERAGE(B66:B73)</f>
        <v>30.19142857142857</v>
      </c>
      <c r="E66" s="15" t="s">
        <v>75</v>
      </c>
    </row>
    <row r="67" spans="1:5" ht="15.75" customHeight="1" x14ac:dyDescent="0.2">
      <c r="A67" s="1" t="s">
        <v>76</v>
      </c>
      <c r="B67" s="1">
        <v>30.63</v>
      </c>
      <c r="C67" s="16"/>
      <c r="D67" s="16"/>
      <c r="E67" s="16"/>
    </row>
    <row r="68" spans="1:5" ht="15.75" customHeight="1" x14ac:dyDescent="0.2">
      <c r="A68" s="1" t="s">
        <v>77</v>
      </c>
      <c r="B68" s="1">
        <v>29.85</v>
      </c>
      <c r="C68" s="17">
        <f>AVERAGE(B68:B69)</f>
        <v>30.335000000000001</v>
      </c>
      <c r="D68" s="16"/>
      <c r="E68" s="16"/>
    </row>
    <row r="69" spans="1:5" ht="15.75" customHeight="1" x14ac:dyDescent="0.2">
      <c r="A69" s="1" t="s">
        <v>78</v>
      </c>
      <c r="B69" s="1">
        <v>30.82</v>
      </c>
      <c r="C69" s="16"/>
      <c r="D69" s="16"/>
      <c r="E69" s="16"/>
    </row>
    <row r="70" spans="1:5" ht="15.75" customHeight="1" x14ac:dyDescent="0.2">
      <c r="A70" s="1" t="s">
        <v>79</v>
      </c>
      <c r="C70" s="17">
        <f>AVERAGE(B70:B71)</f>
        <v>30.58</v>
      </c>
      <c r="D70" s="16"/>
      <c r="E70" s="16"/>
    </row>
    <row r="71" spans="1:5" ht="15.75" customHeight="1" x14ac:dyDescent="0.2">
      <c r="A71" s="1" t="s">
        <v>80</v>
      </c>
      <c r="B71" s="1">
        <v>30.58</v>
      </c>
      <c r="C71" s="16"/>
      <c r="D71" s="16"/>
      <c r="E71" s="16"/>
    </row>
    <row r="72" spans="1:5" ht="15.75" customHeight="1" x14ac:dyDescent="0.2">
      <c r="A72" s="1" t="s">
        <v>81</v>
      </c>
      <c r="B72" s="1">
        <v>29.55</v>
      </c>
      <c r="C72" s="17">
        <f>AVERAGE(B72:B73)</f>
        <v>29.509999999999998</v>
      </c>
      <c r="D72" s="16"/>
      <c r="E72" s="16"/>
    </row>
    <row r="73" spans="1:5" ht="15.75" customHeight="1" x14ac:dyDescent="0.2">
      <c r="A73" s="1" t="s">
        <v>82</v>
      </c>
      <c r="B73" s="1">
        <v>29.47</v>
      </c>
      <c r="C73" s="16"/>
      <c r="D73" s="16"/>
      <c r="E73" s="16"/>
    </row>
    <row r="74" spans="1:5" ht="15.75" customHeight="1" x14ac:dyDescent="0.2">
      <c r="D74" s="7"/>
    </row>
    <row r="75" spans="1:5" ht="15.75" customHeight="1" x14ac:dyDescent="0.2">
      <c r="D75" s="7"/>
    </row>
    <row r="76" spans="1:5" ht="15.75" customHeight="1" x14ac:dyDescent="0.2">
      <c r="D76" s="7"/>
    </row>
    <row r="77" spans="1:5" ht="15.75" customHeight="1" x14ac:dyDescent="0.2">
      <c r="D77" s="7"/>
    </row>
    <row r="78" spans="1:5" ht="15.75" customHeight="1" x14ac:dyDescent="0.2">
      <c r="D78" s="7"/>
    </row>
    <row r="79" spans="1:5" ht="15.75" customHeight="1" x14ac:dyDescent="0.2">
      <c r="D79" s="7"/>
    </row>
    <row r="80" spans="1:5" ht="15.75" customHeight="1" x14ac:dyDescent="0.2">
      <c r="D80" s="7"/>
    </row>
    <row r="81" spans="4:4" ht="15.75" customHeight="1" x14ac:dyDescent="0.2">
      <c r="D81" s="7"/>
    </row>
    <row r="82" spans="4:4" ht="15.75" customHeight="1" x14ac:dyDescent="0.2"/>
    <row r="83" spans="4:4" ht="15.75" customHeight="1" x14ac:dyDescent="0.2"/>
    <row r="84" spans="4:4" ht="15.75" customHeight="1" x14ac:dyDescent="0.2"/>
    <row r="85" spans="4:4" ht="15.75" customHeight="1" x14ac:dyDescent="0.2"/>
    <row r="86" spans="4:4" ht="15.75" customHeight="1" x14ac:dyDescent="0.2"/>
    <row r="87" spans="4:4" ht="15.75" customHeight="1" x14ac:dyDescent="0.2"/>
    <row r="88" spans="4:4" ht="15.75" customHeight="1" x14ac:dyDescent="0.2"/>
    <row r="89" spans="4:4" ht="15.75" customHeight="1" x14ac:dyDescent="0.2"/>
    <row r="90" spans="4:4" ht="15.75" customHeight="1" x14ac:dyDescent="0.2"/>
    <row r="91" spans="4:4" ht="15.75" customHeight="1" x14ac:dyDescent="0.2"/>
    <row r="92" spans="4:4" ht="15.75" customHeight="1" x14ac:dyDescent="0.2"/>
    <row r="93" spans="4:4" ht="15.75" customHeight="1" x14ac:dyDescent="0.2"/>
    <row r="94" spans="4:4" ht="15.75" customHeight="1" x14ac:dyDescent="0.2"/>
    <row r="95" spans="4:4" ht="15.75" customHeight="1" x14ac:dyDescent="0.2"/>
    <row r="96" spans="4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54">
    <mergeCell ref="C58:C59"/>
    <mergeCell ref="C60:C61"/>
    <mergeCell ref="C62:C63"/>
    <mergeCell ref="C64:C65"/>
    <mergeCell ref="D58:D65"/>
    <mergeCell ref="E58:E65"/>
    <mergeCell ref="D66:D73"/>
    <mergeCell ref="E66:E73"/>
    <mergeCell ref="C40:C41"/>
    <mergeCell ref="C42:C43"/>
    <mergeCell ref="E42:E49"/>
    <mergeCell ref="C44:C45"/>
    <mergeCell ref="C46:C47"/>
    <mergeCell ref="C48:C49"/>
    <mergeCell ref="C50:C51"/>
    <mergeCell ref="C66:C67"/>
    <mergeCell ref="C68:C69"/>
    <mergeCell ref="C70:C71"/>
    <mergeCell ref="C72:C73"/>
    <mergeCell ref="C52:C53"/>
    <mergeCell ref="C36:C37"/>
    <mergeCell ref="C38:C39"/>
    <mergeCell ref="D42:D49"/>
    <mergeCell ref="D50:D57"/>
    <mergeCell ref="E50:E57"/>
    <mergeCell ref="C54:C55"/>
    <mergeCell ref="C56:C57"/>
    <mergeCell ref="C26:C27"/>
    <mergeCell ref="C28:C29"/>
    <mergeCell ref="C30:C31"/>
    <mergeCell ref="C32:C33"/>
    <mergeCell ref="C34:C35"/>
    <mergeCell ref="D34:D41"/>
    <mergeCell ref="E34:E41"/>
    <mergeCell ref="C2:C3"/>
    <mergeCell ref="D2:D9"/>
    <mergeCell ref="E2:E9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D10:D17"/>
    <mergeCell ref="E10:E17"/>
    <mergeCell ref="D18:D25"/>
    <mergeCell ref="E18:E25"/>
    <mergeCell ref="D26:D33"/>
    <mergeCell ref="E26:E33"/>
  </mergeCells>
  <pageMargins left="0.78740157499999996" right="0.78740157499999996" top="0.984251969" bottom="0.98425196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20240926_iDEC_S2060_rerun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Wimmer  Jakob</dc:creator>
  <cp:lastModifiedBy>Oleksandr Melkonyan</cp:lastModifiedBy>
  <dcterms:created xsi:type="dcterms:W3CDTF">2024-09-26T15:51:16Z</dcterms:created>
  <dcterms:modified xsi:type="dcterms:W3CDTF">2024-10-23T18:20:34Z</dcterms:modified>
</cp:coreProperties>
</file>